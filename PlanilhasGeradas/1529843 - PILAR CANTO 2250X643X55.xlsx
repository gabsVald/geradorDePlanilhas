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2" applyAlignment="1" pivotButton="0" quotePrefix="0" xfId="0">
      <alignment horizontal="left" vertical="top"/>
    </xf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1529843 - PILAR CANTO 2250X643X55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2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5.0*A3</f>
        <v/>
      </c>
      <c r="B6" s="49" t="n"/>
      <c r="C6" s="50" t="n">
        <v>612</v>
      </c>
      <c r="D6" s="13" t="inlineStr">
        <is>
          <t>X</t>
        </is>
      </c>
      <c r="E6" s="49" t="n"/>
      <c r="F6" s="50" t="n">
        <v>80</v>
      </c>
      <c r="G6" s="13" t="inlineStr">
        <is>
          <t>X</t>
        </is>
      </c>
      <c r="H6" s="50" t="n">
        <v>25</v>
      </c>
      <c r="I6" s="13" t="inlineStr">
        <is>
          <t>MDF CRU</t>
        </is>
      </c>
      <c r="J6" s="13" t="n"/>
      <c r="K6" s="14" t="inlineStr">
        <is>
          <t>SEC</t>
        </is>
      </c>
      <c r="L6" s="6" t="inlineStr">
        <is>
          <t>REFORCO</t>
        </is>
      </c>
      <c r="M6" s="51" t="n">
        <v>1160220</v>
      </c>
    </row>
    <row r="7" ht="25.5" customHeight="1">
      <c r="A7" s="13">
        <f>1.0*A3</f>
        <v/>
      </c>
      <c r="B7" s="49" t="n"/>
      <c r="C7" s="50" t="n">
        <v>610</v>
      </c>
      <c r="D7" s="13" t="inlineStr">
        <is>
          <t>X</t>
        </is>
      </c>
      <c r="E7" s="49" t="n"/>
      <c r="F7" s="50" t="n">
        <v>21</v>
      </c>
      <c r="G7" s="13" t="inlineStr">
        <is>
          <t>X</t>
        </is>
      </c>
      <c r="H7" s="50" t="n">
        <v>21</v>
      </c>
      <c r="I7" s="13" t="inlineStr">
        <is>
          <t>MADEIRA BRUTA PINUS</t>
        </is>
      </c>
      <c r="J7" s="13" t="n"/>
      <c r="K7" s="14" t="inlineStr">
        <is>
          <t>SEC</t>
        </is>
      </c>
      <c r="L7" s="6" t="inlineStr">
        <is>
          <t>REFORCO</t>
        </is>
      </c>
      <c r="M7" s="51" t="n">
        <v>1160218</v>
      </c>
    </row>
    <row r="8" ht="25.5" customHeight="1">
      <c r="A8" s="13">
        <f>1.0*A3</f>
        <v/>
      </c>
      <c r="B8" s="49" t="n"/>
      <c r="C8" s="50" t="n">
        <v>2218</v>
      </c>
      <c r="D8" s="13" t="inlineStr">
        <is>
          <t>X</t>
        </is>
      </c>
      <c r="E8" s="49" t="n"/>
      <c r="F8" s="50" t="n">
        <v>41</v>
      </c>
      <c r="G8" s="13" t="inlineStr">
        <is>
          <t>X</t>
        </is>
      </c>
      <c r="H8" s="50" t="n">
        <v>13</v>
      </c>
      <c r="I8" s="13" t="inlineStr">
        <is>
          <t>MDF/MDP SOBRA</t>
        </is>
      </c>
      <c r="J8" s="13" t="n"/>
      <c r="K8" s="14" t="inlineStr">
        <is>
          <t>SEC</t>
        </is>
      </c>
      <c r="L8" s="6" t="inlineStr">
        <is>
          <t>REFORCO</t>
        </is>
      </c>
      <c r="M8" s="51" t="n">
        <v>1146416</v>
      </c>
    </row>
    <row r="9" ht="25.5" customHeight="1">
      <c r="A9" s="13">
        <f>2.0*A3</f>
        <v/>
      </c>
      <c r="B9" s="49" t="n"/>
      <c r="C9" s="50" t="n">
        <v>2250</v>
      </c>
      <c r="D9" s="13" t="inlineStr">
        <is>
          <t>X</t>
        </is>
      </c>
      <c r="E9" s="49" t="inlineStr">
        <is>
          <t>=</t>
        </is>
      </c>
      <c r="F9" s="50" t="n">
        <v>642</v>
      </c>
      <c r="G9" s="13" t="inlineStr">
        <is>
          <t>X</t>
        </is>
      </c>
      <c r="H9" s="50" t="n">
        <v>15</v>
      </c>
      <c r="I9" s="13" t="inlineStr">
        <is>
          <t>MDF BP 2F DOWNTOWN TX</t>
        </is>
      </c>
      <c r="J9" s="13" t="n"/>
      <c r="K9" s="14" t="inlineStr">
        <is>
          <t>SEC-LAM</t>
        </is>
      </c>
      <c r="L9" s="6" t="inlineStr">
        <is>
          <t>FECHAMENTO</t>
        </is>
      </c>
      <c r="M9" s="51" t="n">
        <v>1160223</v>
      </c>
    </row>
    <row r="10" ht="25.5" customHeight="1">
      <c r="A10" s="13">
        <f>1.0*A3</f>
        <v/>
      </c>
      <c r="B10" s="49" t="n"/>
      <c r="C10" s="50" t="n">
        <v>2220</v>
      </c>
      <c r="D10" s="13" t="inlineStr">
        <is>
          <t>X</t>
        </is>
      </c>
      <c r="E10" s="49" t="n"/>
      <c r="F10" s="50" t="n">
        <v>45</v>
      </c>
      <c r="G10" s="13" t="inlineStr">
        <is>
          <t>X</t>
        </is>
      </c>
      <c r="H10" s="50" t="n">
        <v>15</v>
      </c>
      <c r="I10" s="13" t="inlineStr">
        <is>
          <t>MDF CRU</t>
        </is>
      </c>
      <c r="J10" s="13" t="n"/>
      <c r="K10" s="14" t="inlineStr">
        <is>
          <t>SEC</t>
        </is>
      </c>
      <c r="L10" s="6" t="inlineStr">
        <is>
          <t>REFORCO</t>
        </is>
      </c>
      <c r="M10" s="51" t="n">
        <v>1146414</v>
      </c>
    </row>
    <row r="11" ht="409.5" customHeight="1">
      <c r="A11" s="52" t="inlineStr">
        <is>
          <t>IND00301</t>
        </is>
      </c>
      <c r="B11" s="44" t="n"/>
      <c r="C11" s="44" t="n"/>
      <c r="D11" s="44" t="n"/>
      <c r="E11" s="44" t="n"/>
      <c r="F11" s="44" t="n"/>
      <c r="G11" s="44" t="n"/>
      <c r="H11" s="44" t="n"/>
      <c r="I11" s="44" t="n"/>
      <c r="J11" s="44" t="n"/>
      <c r="K11" s="44" t="n"/>
      <c r="L11" s="44" t="n"/>
      <c r="M11" s="45" t="n"/>
    </row>
    <row r="12" ht="25.5" customHeight="1">
      <c r="A12" s="27" t="inlineStr">
        <is>
          <t>PROCESSO</t>
        </is>
      </c>
      <c r="B12" s="42" t="n"/>
      <c r="C12" s="42" t="n"/>
      <c r="D12" s="42" t="n"/>
      <c r="E12" s="42" t="n"/>
      <c r="F12" s="43" t="n"/>
      <c r="G12" s="39" t="inlineStr">
        <is>
          <t>OPERADOR</t>
        </is>
      </c>
      <c r="H12" s="42" t="n"/>
      <c r="I12" s="42" t="n"/>
      <c r="J12" s="8" t="n"/>
      <c r="K12" s="32" t="inlineStr">
        <is>
          <t>TEMPO TOTAL DE PROCESSO ( MINUTOS )</t>
        </is>
      </c>
      <c r="L12" s="42" t="n"/>
      <c r="M12" s="43" t="n"/>
    </row>
    <row r="13" ht="25.5" customHeight="1">
      <c r="A13" s="53" t="inlineStr">
        <is>
          <t>SECCIONADORA</t>
        </is>
      </c>
      <c r="B13" s="42" t="n"/>
      <c r="C13" s="42" t="n"/>
      <c r="D13" s="42" t="n"/>
      <c r="E13" s="42" t="n"/>
      <c r="F13" s="43" t="n"/>
      <c r="G13" s="54" t="n"/>
      <c r="H13" s="42" t="n"/>
      <c r="I13" s="43" t="n"/>
      <c r="J13" s="10" t="n"/>
      <c r="K13" s="54" t="n"/>
      <c r="L13" s="42" t="n"/>
      <c r="M13" s="43" t="n"/>
    </row>
    <row r="14" ht="25.5" customHeight="1">
      <c r="A14" s="53" t="inlineStr">
        <is>
          <t>CNC NESTING</t>
        </is>
      </c>
      <c r="B14" s="42" t="n"/>
      <c r="C14" s="42" t="n"/>
      <c r="D14" s="42" t="n"/>
      <c r="E14" s="42" t="n"/>
      <c r="F14" s="43" t="n"/>
      <c r="G14" s="40" t="n"/>
      <c r="H14" s="42" t="n"/>
      <c r="I14" s="42" t="n"/>
      <c r="J14" s="11" t="n"/>
      <c r="K14" s="55" t="n"/>
      <c r="L14" s="42" t="n"/>
      <c r="M14" s="43" t="n"/>
    </row>
    <row r="15" ht="25.5" customHeight="1">
      <c r="A15" s="53" t="inlineStr">
        <is>
          <t>CNC ROVER / 5 EIXOS</t>
        </is>
      </c>
      <c r="B15" s="42" t="n"/>
      <c r="C15" s="42" t="n"/>
      <c r="D15" s="42" t="n"/>
      <c r="E15" s="42" t="n"/>
      <c r="F15" s="43" t="n"/>
      <c r="G15" s="54" t="n"/>
      <c r="H15" s="42" t="n"/>
      <c r="I15" s="43" t="n"/>
      <c r="J15" s="20" t="n"/>
      <c r="K15" s="54" t="n"/>
      <c r="L15" s="42" t="n"/>
      <c r="M15" s="43" t="n"/>
    </row>
    <row r="16" ht="25.5" customHeight="1">
      <c r="A16" s="53" t="inlineStr">
        <is>
          <t>MONTAGEM PRENSA</t>
        </is>
      </c>
      <c r="B16" s="42" t="n"/>
      <c r="C16" s="42" t="n"/>
      <c r="D16" s="42" t="n"/>
      <c r="E16" s="42" t="n"/>
      <c r="F16" s="43" t="n"/>
      <c r="G16" s="54" t="n"/>
      <c r="H16" s="42" t="n"/>
      <c r="I16" s="43" t="n"/>
      <c r="J16" s="21" t="n"/>
      <c r="K16" s="54" t="n"/>
      <c r="L16" s="42" t="n"/>
      <c r="M16" s="43" t="n"/>
    </row>
    <row r="17" ht="25.5" customHeight="1">
      <c r="A17" s="53" t="inlineStr">
        <is>
          <t>PRENSA</t>
        </is>
      </c>
      <c r="B17" s="42" t="n"/>
      <c r="C17" s="42" t="n"/>
      <c r="D17" s="42" t="n"/>
      <c r="E17" s="42" t="n"/>
      <c r="F17" s="43" t="n"/>
      <c r="G17" s="54" t="n"/>
      <c r="H17" s="42" t="n"/>
      <c r="I17" s="43" t="n"/>
      <c r="J17" s="21" t="n"/>
      <c r="K17" s="54" t="n"/>
      <c r="L17" s="42" t="n"/>
      <c r="M17" s="43" t="n"/>
    </row>
    <row r="18" ht="25.5" customHeight="1">
      <c r="A18" s="53" t="inlineStr">
        <is>
          <t>LAMINADORA</t>
        </is>
      </c>
      <c r="B18" s="42" t="n"/>
      <c r="C18" s="42" t="n"/>
      <c r="D18" s="42" t="n"/>
      <c r="E18" s="42" t="n"/>
      <c r="F18" s="43" t="n"/>
      <c r="G18" s="56" t="n"/>
      <c r="H18" s="44" t="n"/>
      <c r="I18" s="45" t="n"/>
      <c r="J18" s="21" t="n"/>
      <c r="K18" s="54" t="n"/>
      <c r="L18" s="42" t="n"/>
      <c r="M18" s="43" t="n"/>
    </row>
    <row r="19" ht="25.5" customHeight="1">
      <c r="A19" s="36" t="inlineStr">
        <is>
          <t>ELÉTRICA</t>
        </is>
      </c>
      <c r="B19" s="42" t="n"/>
      <c r="C19" s="42" t="n"/>
      <c r="D19" s="42" t="n"/>
      <c r="E19" s="42" t="n"/>
      <c r="F19" s="42" t="n"/>
      <c r="G19" s="25" t="n"/>
      <c r="H19" s="57" t="n"/>
      <c r="I19" s="58" t="n"/>
      <c r="J19" s="7" t="n"/>
      <c r="K19" s="21" t="n"/>
      <c r="L19" s="42" t="n"/>
      <c r="M19" s="43" t="n"/>
    </row>
    <row r="20" ht="25.5" customHeight="1">
      <c r="A20" s="36" t="inlineStr">
        <is>
          <t>LIXADEIRA / ESCOVA</t>
        </is>
      </c>
      <c r="B20" s="42" t="n"/>
      <c r="C20" s="42" t="n"/>
      <c r="D20" s="42" t="n"/>
      <c r="E20" s="42" t="n"/>
      <c r="F20" s="42" t="n"/>
      <c r="G20" s="25" t="n"/>
      <c r="H20" s="57" t="n"/>
      <c r="I20" s="58" t="n"/>
      <c r="J20" s="7" t="n"/>
      <c r="K20" s="21" t="n"/>
      <c r="L20" s="42" t="n"/>
      <c r="M20" s="43" t="n"/>
    </row>
    <row r="21" ht="25.5" customHeight="1">
      <c r="A21" s="53" t="inlineStr">
        <is>
          <t>MARCENEIRO</t>
        </is>
      </c>
      <c r="B21" s="42" t="n"/>
      <c r="C21" s="42" t="n"/>
      <c r="D21" s="42" t="n"/>
      <c r="E21" s="42" t="n"/>
      <c r="F21" s="43" t="n"/>
      <c r="G21" s="20" t="n"/>
      <c r="H21" s="47" t="n"/>
      <c r="I21" s="48" t="n"/>
      <c r="J21" s="21" t="n"/>
      <c r="K21" s="21" t="n"/>
      <c r="L21" s="42" t="n"/>
      <c r="M21" s="43" t="n"/>
    </row>
    <row r="22" ht="25.5" customHeight="1">
      <c r="A22" s="53" t="inlineStr">
        <is>
          <t>RESPONSÁVEL</t>
        </is>
      </c>
      <c r="B22" s="42" t="n"/>
      <c r="C22" s="42" t="n"/>
      <c r="D22" s="42" t="n"/>
      <c r="E22" s="42" t="n"/>
      <c r="F22" s="43" t="n"/>
      <c r="G22" s="21" t="n"/>
      <c r="H22" s="42" t="n"/>
      <c r="I22" s="43" t="n"/>
      <c r="K22" s="21" t="n"/>
      <c r="L22" s="42" t="n"/>
      <c r="M22" s="43" t="n"/>
    </row>
    <row r="23" ht="25.5" customHeight="1">
      <c r="A23" s="27" t="inlineStr">
        <is>
          <t>OBSERVAÇÕES</t>
        </is>
      </c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  <row r="25" ht="25.5" customHeight="1">
      <c r="A25" s="21" t="n"/>
      <c r="B25" s="42" t="n"/>
      <c r="C25" s="42" t="n"/>
      <c r="D25" s="42" t="n"/>
      <c r="E25" s="42" t="n"/>
      <c r="F25" s="42" t="n"/>
      <c r="G25" s="42" t="n"/>
      <c r="H25" s="42" t="n"/>
      <c r="I25" s="42" t="n"/>
      <c r="J25" s="42" t="n"/>
      <c r="K25" s="42" t="n"/>
      <c r="L25" s="42" t="n"/>
      <c r="M25" s="43" t="n"/>
    </row>
    <row r="26" ht="25.5" customHeight="1">
      <c r="A26" s="21" t="n"/>
      <c r="B26" s="42" t="n"/>
      <c r="C26" s="42" t="n"/>
      <c r="D26" s="42" t="n"/>
      <c r="E26" s="42" t="n"/>
      <c r="F26" s="42" t="n"/>
      <c r="G26" s="42" t="n"/>
      <c r="H26" s="42" t="n"/>
      <c r="I26" s="42" t="n"/>
      <c r="J26" s="42" t="n"/>
      <c r="K26" s="42" t="n"/>
      <c r="L26" s="42" t="n"/>
      <c r="M26" s="43" t="n"/>
    </row>
  </sheetData>
  <mergeCells count="43">
    <mergeCell ref="A16:F16"/>
    <mergeCell ref="A23:M23"/>
    <mergeCell ref="G19:I19"/>
    <mergeCell ref="G13:I13"/>
    <mergeCell ref="K22:M22"/>
    <mergeCell ref="A4:M4"/>
    <mergeCell ref="G18:I18"/>
    <mergeCell ref="A12:F12"/>
    <mergeCell ref="A18:F18"/>
    <mergeCell ref="K12:M12"/>
    <mergeCell ref="A21:F21"/>
    <mergeCell ref="B5:H5"/>
    <mergeCell ref="B2:K3"/>
    <mergeCell ref="G15:I15"/>
    <mergeCell ref="G14:I14"/>
    <mergeCell ref="A14:F14"/>
    <mergeCell ref="K14:M14"/>
    <mergeCell ref="A22:F22"/>
    <mergeCell ref="D1:M1"/>
    <mergeCell ref="A17:F17"/>
    <mergeCell ref="G20:I20"/>
    <mergeCell ref="A20:F20"/>
    <mergeCell ref="A24:M24"/>
    <mergeCell ref="K17:M17"/>
    <mergeCell ref="A11:M11"/>
    <mergeCell ref="G16:I16"/>
    <mergeCell ref="K19:M19"/>
    <mergeCell ref="A19:F19"/>
    <mergeCell ref="G22:I22"/>
    <mergeCell ref="A13:F13"/>
    <mergeCell ref="K13:M13"/>
    <mergeCell ref="K18:M18"/>
    <mergeCell ref="G12:I12"/>
    <mergeCell ref="A25:M25"/>
    <mergeCell ref="K16:M16"/>
    <mergeCell ref="G21:I21"/>
    <mergeCell ref="A15:F15"/>
    <mergeCell ref="K15:M15"/>
    <mergeCell ref="A1:C1"/>
    <mergeCell ref="K21:M21"/>
    <mergeCell ref="A26:M26"/>
    <mergeCell ref="G17:I17"/>
    <mergeCell ref="K20:M20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2026-03-26T16:33:31Z</dcterms:modified>
  <cp:lastModifiedBy>Gabriel Furlan Tiara</cp:lastModifiedBy>
</cp:coreProperties>
</file>