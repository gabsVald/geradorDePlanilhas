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3880" yWindow="-120" windowWidth="24240" windowHeight="13020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Aptos Narrow"/>
      <family val="2"/>
      <color theme="1"/>
      <sz val="11"/>
      <scheme val="minor"/>
    </font>
    <font>
      <name val="Arial Black"/>
      <family val="2"/>
      <b val="1"/>
      <color rgb="FF000000"/>
      <sz val="24"/>
    </font>
    <font>
      <name val="Arial1"/>
      <b val="1"/>
      <color rgb="FF000000"/>
      <sz val="14"/>
    </font>
    <font>
      <name val="Arial1"/>
      <b val="1"/>
      <color rgb="FF000000"/>
      <sz val="11"/>
    </font>
    <font>
      <name val="Arial1"/>
      <b val="1"/>
      <color rgb="FF000000"/>
      <sz val="16"/>
    </font>
    <font>
      <name val="Arial1"/>
      <b val="1"/>
      <color rgb="FF000000"/>
      <sz val="12"/>
    </font>
    <font>
      <name val="Arial1"/>
      <color rgb="FF000000"/>
      <sz val="10"/>
    </font>
    <font>
      <name val="Arial Black"/>
      <family val="2"/>
      <b val="1"/>
      <color rgb="FF000000"/>
      <sz val="20"/>
    </font>
    <font>
      <name val="Arial"/>
      <family val="2"/>
      <color theme="1"/>
      <sz val="11"/>
    </font>
    <font>
      <name val="Arial1"/>
      <color rgb="FF000000"/>
      <sz val="11"/>
    </font>
    <font>
      <name val="Arial1"/>
      <color theme="1"/>
      <sz val="11"/>
    </font>
    <font>
      <name val="Arial1"/>
      <b val="1"/>
      <color rgb="FF000000"/>
      <sz val="20"/>
    </font>
    <font>
      <b val="1"/>
      <sz val="20"/>
    </font>
  </fonts>
  <fills count="3">
    <fill>
      <patternFill/>
    </fill>
    <fill>
      <patternFill patternType="gray125"/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5" fillId="2" borderId="2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0" fillId="2" borderId="8" pivotButton="0" quotePrefix="0" xfId="0"/>
    <xf numFmtId="0" fontId="0" fillId="2" borderId="9" pivotButton="0" quotePrefix="0" xfId="0"/>
    <xf numFmtId="0" fontId="0" fillId="2" borderId="10" pivotButton="0" quotePrefix="0" xfId="0"/>
    <xf numFmtId="0" fontId="0" fillId="2" borderId="2" pivotButton="0" quotePrefix="0" xfId="0"/>
    <xf numFmtId="0" fontId="0" fillId="0" borderId="9" pivotButton="0" quotePrefix="0" xfId="0"/>
    <xf numFmtId="0" fontId="8" fillId="0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49" fontId="9" fillId="0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2" borderId="10" pivotButton="0" quotePrefix="0" xfId="0"/>
    <xf numFmtId="0" fontId="0" fillId="2" borderId="1" pivotButton="0" quotePrefix="0" xfId="0"/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0" fillId="2" borderId="11" applyAlignment="1" pivotButton="0" quotePrefix="0" xfId="0">
      <alignment horizontal="center"/>
    </xf>
    <xf numFmtId="0" fontId="2" fillId="2" borderId="7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7" fillId="2" borderId="3" applyAlignment="1" pivotButton="0" quotePrefix="0" xfId="0">
      <alignment horizontal="left" vertical="top"/>
    </xf>
    <xf numFmtId="0" fontId="7" fillId="2" borderId="4" applyAlignment="1" pivotButton="0" quotePrefix="0" xfId="0">
      <alignment horizontal="left" vertical="top"/>
    </xf>
    <xf numFmtId="0" fontId="7" fillId="2" borderId="5" applyAlignment="1" pivotButton="0" quotePrefix="0" xfId="0">
      <alignment horizontal="left" vertical="top"/>
    </xf>
    <xf numFmtId="0" fontId="10" fillId="2" borderId="6" applyAlignment="1" pivotButton="0" quotePrefix="0" xfId="0">
      <alignment horizontal="center"/>
    </xf>
    <xf numFmtId="0" fontId="10" fillId="2" borderId="7" applyAlignment="1" pivotButton="0" quotePrefix="0" xfId="0">
      <alignment horizontal="center"/>
    </xf>
    <xf numFmtId="0" fontId="10" fillId="2" borderId="8" applyAlignment="1" pivotButton="0" quotePrefix="0" xfId="0">
      <alignment horizontal="center"/>
    </xf>
    <xf numFmtId="0" fontId="2" fillId="2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49" fontId="11" fillId="2" borderId="1" applyAlignment="1" pivotButton="0" quotePrefix="0" xfId="0">
      <alignment horizontal="center" vertical="center"/>
    </xf>
    <xf numFmtId="1" fontId="9" fillId="2" borderId="1" applyAlignment="1" pivotButton="0" quotePrefix="0" xfId="0">
      <alignment horizontal="center" vertical="center"/>
    </xf>
    <xf numFmtId="1" fontId="9" fillId="0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left" vertical="top"/>
    </xf>
    <xf numFmtId="0" fontId="10" fillId="2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2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0" borderId="15" pivotButton="0" quotePrefix="0" xfId="0"/>
    <xf numFmtId="0" fontId="0" fillId="0" borderId="1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4780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tabSelected="1" zoomScale="70" zoomScaleNormal="70" workbookViewId="0">
      <selection activeCell="U9" sqref="U9"/>
    </sheetView>
  </sheetViews>
  <sheetFormatPr baseColWidth="8" defaultRowHeight="15"/>
  <cols>
    <col width="5.28515625" customWidth="1" min="1" max="1"/>
    <col width="8.85546875" customWidth="1" min="2" max="2"/>
    <col width="7.85546875" customWidth="1" min="3" max="3"/>
    <col width="4.28515625" customWidth="1" min="4" max="4"/>
    <col width="9.140625" customWidth="1" min="5" max="5"/>
    <col width="8" customWidth="1" min="6" max="6"/>
    <col width="4.5703125" customWidth="1" min="7" max="7"/>
    <col width="8.140625" customWidth="1" min="8" max="8"/>
    <col width="28.28515625" customWidth="1" min="9" max="9"/>
    <col width="6.140625" customWidth="1" min="10" max="10"/>
    <col width="28.7109375" customWidth="1" min="11" max="11"/>
    <col width="21.7109375" customWidth="1" min="12" max="12"/>
    <col width="13.7109375" customWidth="1" min="13" max="13"/>
  </cols>
  <sheetData>
    <row r="1" ht="33" customHeight="1">
      <c r="A1" s="26" t="n"/>
      <c r="B1" s="42" t="n"/>
      <c r="C1" s="43" t="n"/>
      <c r="D1" s="27" t="inlineStr">
        <is>
          <t>ORDEM DE PRODUÇÃO</t>
        </is>
      </c>
      <c r="E1" s="42" t="n"/>
      <c r="F1" s="42" t="n"/>
      <c r="G1" s="42" t="n"/>
      <c r="H1" s="42" t="n"/>
      <c r="I1" s="42" t="n"/>
      <c r="J1" s="42" t="n"/>
      <c r="K1" s="42" t="n"/>
      <c r="L1" s="42" t="n"/>
      <c r="M1" s="43" t="n"/>
    </row>
    <row r="2" ht="22.5" customHeight="1">
      <c r="A2" s="1" t="inlineStr">
        <is>
          <t>QNT</t>
        </is>
      </c>
      <c r="B2" s="28" t="inlineStr">
        <is>
          <t>1529809 - LATERAL LISA MOVEL 2250X1290X27</t>
        </is>
      </c>
      <c r="C2" s="44" t="n"/>
      <c r="D2" s="44" t="n"/>
      <c r="E2" s="44" t="n"/>
      <c r="F2" s="44" t="n"/>
      <c r="G2" s="44" t="n"/>
      <c r="H2" s="44" t="n"/>
      <c r="I2" s="44" t="n"/>
      <c r="J2" s="44" t="n"/>
      <c r="K2" s="45" t="n"/>
      <c r="L2" s="1" t="inlineStr">
        <is>
          <t>DATA</t>
        </is>
      </c>
      <c r="M2" s="2" t="inlineStr">
        <is>
          <t>26/03/2026</t>
        </is>
      </c>
    </row>
    <row r="3" ht="22.5" customHeight="1">
      <c r="A3" s="1" t="n">
        <v>18</v>
      </c>
      <c r="B3" s="46" t="n"/>
      <c r="C3" s="47" t="n"/>
      <c r="D3" s="47" t="n"/>
      <c r="E3" s="47" t="n"/>
      <c r="F3" s="47" t="n"/>
      <c r="G3" s="47" t="n"/>
      <c r="H3" s="47" t="n"/>
      <c r="I3" s="47" t="n"/>
      <c r="J3" s="47" t="n"/>
      <c r="K3" s="48" t="n"/>
      <c r="L3" s="1" t="inlineStr">
        <is>
          <t>PROGRAMAÇÃO</t>
        </is>
      </c>
      <c r="M3" s="29" t="n"/>
    </row>
    <row r="4" ht="14.25" customHeight="1">
      <c r="A4" s="21" t="n"/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3" t="n"/>
    </row>
    <row r="5" ht="25.5" customHeight="1">
      <c r="A5" s="29" t="inlineStr">
        <is>
          <t>UN</t>
        </is>
      </c>
      <c r="B5" s="29" t="inlineStr">
        <is>
          <t>MEDIDA CORTE/LAM</t>
        </is>
      </c>
      <c r="C5" s="42" t="n"/>
      <c r="D5" s="42" t="n"/>
      <c r="E5" s="42" t="n"/>
      <c r="F5" s="42" t="n"/>
      <c r="G5" s="42" t="n"/>
      <c r="H5" s="43" t="n"/>
      <c r="I5" s="29" t="inlineStr">
        <is>
          <t>MATERIAL</t>
        </is>
      </c>
      <c r="J5" s="29" t="inlineStr">
        <is>
          <t>VEIO</t>
        </is>
      </c>
      <c r="K5" s="29" t="inlineStr">
        <is>
          <t>PROCESSO</t>
        </is>
      </c>
      <c r="L5" s="5" t="inlineStr">
        <is>
          <t>DESCRIÇÃO</t>
        </is>
      </c>
      <c r="M5" s="29" t="inlineStr">
        <is>
          <t>CÓDIGO</t>
        </is>
      </c>
    </row>
    <row r="6" ht="25.5" customHeight="1">
      <c r="A6" s="13">
        <f>1.0*A3</f>
        <v/>
      </c>
      <c r="B6" s="49" t="n"/>
      <c r="C6" s="50" t="n">
        <v>2250</v>
      </c>
      <c r="D6" s="13" t="inlineStr">
        <is>
          <t>X</t>
        </is>
      </c>
      <c r="E6" s="49" t="inlineStr">
        <is>
          <t>=</t>
        </is>
      </c>
      <c r="F6" s="50" t="n">
        <v>1290</v>
      </c>
      <c r="G6" s="13" t="inlineStr">
        <is>
          <t>X</t>
        </is>
      </c>
      <c r="H6" s="50" t="n">
        <v>15</v>
      </c>
      <c r="I6" s="13" t="inlineStr">
        <is>
          <t>MDF BP 2F DOWNTOWN TX</t>
        </is>
      </c>
      <c r="J6" s="13" t="n"/>
      <c r="K6" s="14" t="inlineStr">
        <is>
          <t>SEC-LAM</t>
        </is>
      </c>
      <c r="L6" s="6" t="inlineStr">
        <is>
          <t>LATERAL LISA</t>
        </is>
      </c>
      <c r="M6" s="51" t="n">
        <v>1160029</v>
      </c>
    </row>
    <row r="7" ht="25.5" customHeight="1">
      <c r="A7" s="13">
        <f>1.0*A3</f>
        <v/>
      </c>
      <c r="B7" s="49" t="n"/>
      <c r="C7" s="50" t="n">
        <v>1000</v>
      </c>
      <c r="D7" s="13" t="inlineStr">
        <is>
          <t>X</t>
        </is>
      </c>
      <c r="E7" s="49" t="n"/>
      <c r="F7" s="50" t="n">
        <v>150</v>
      </c>
      <c r="G7" s="13" t="inlineStr">
        <is>
          <t>X</t>
        </is>
      </c>
      <c r="H7" s="50" t="n">
        <v>12</v>
      </c>
      <c r="I7" s="13" t="inlineStr">
        <is>
          <t>MDF CRU</t>
        </is>
      </c>
      <c r="J7" s="13" t="n"/>
      <c r="K7" s="14" t="inlineStr">
        <is>
          <t>SEC</t>
        </is>
      </c>
      <c r="L7" s="6" t="inlineStr">
        <is>
          <t>REFORCO</t>
        </is>
      </c>
      <c r="M7" s="51" t="n">
        <v>1160063</v>
      </c>
    </row>
    <row r="8" ht="409.5" customHeight="1">
      <c r="A8" s="52" t="inlineStr">
        <is>
          <t>IND00301</t>
        </is>
      </c>
      <c r="B8" s="44" t="n"/>
      <c r="C8" s="44" t="n"/>
      <c r="D8" s="44" t="n"/>
      <c r="E8" s="44" t="n"/>
      <c r="F8" s="44" t="n"/>
      <c r="G8" s="44" t="n"/>
      <c r="H8" s="44" t="n"/>
      <c r="I8" s="44" t="n"/>
      <c r="J8" s="44" t="n"/>
      <c r="K8" s="44" t="n"/>
      <c r="L8" s="44" t="n"/>
      <c r="M8" s="45" t="n"/>
    </row>
    <row r="9" ht="25.5" customHeight="1">
      <c r="A9" s="46" t="n"/>
      <c r="B9" s="47" t="n"/>
      <c r="C9" s="47" t="n"/>
      <c r="D9" s="47" t="n"/>
      <c r="E9" s="47" t="n"/>
      <c r="F9" s="47" t="n"/>
      <c r="G9" s="47" t="n"/>
      <c r="H9" s="47" t="n"/>
      <c r="I9" s="47" t="n"/>
      <c r="J9" s="47" t="n"/>
      <c r="K9" s="47" t="n"/>
      <c r="L9" s="47" t="n"/>
      <c r="M9" s="48" t="n"/>
    </row>
    <row r="10" ht="25.5" customHeight="1">
      <c r="A10" s="27" t="inlineStr">
        <is>
          <t>PROCESSO</t>
        </is>
      </c>
      <c r="B10" s="42" t="n"/>
      <c r="C10" s="42" t="n"/>
      <c r="D10" s="42" t="n"/>
      <c r="E10" s="42" t="n"/>
      <c r="F10" s="43" t="n"/>
      <c r="G10" s="39" t="inlineStr">
        <is>
          <t>OPERADOR</t>
        </is>
      </c>
      <c r="H10" s="42" t="n"/>
      <c r="I10" s="42" t="n"/>
      <c r="J10" s="8" t="n"/>
      <c r="K10" s="32" t="inlineStr">
        <is>
          <t>TEMPO TOTAL DE PROCESSO ( MINUTOS )</t>
        </is>
      </c>
      <c r="L10" s="42" t="n"/>
      <c r="M10" s="43" t="n"/>
    </row>
    <row r="11" ht="25.5" customHeight="1">
      <c r="A11" s="53" t="inlineStr">
        <is>
          <t>SECCIONADORA</t>
        </is>
      </c>
      <c r="B11" s="42" t="n"/>
      <c r="C11" s="42" t="n"/>
      <c r="D11" s="42" t="n"/>
      <c r="E11" s="42" t="n"/>
      <c r="F11" s="43" t="n"/>
      <c r="G11" s="54" t="n"/>
      <c r="H11" s="42" t="n"/>
      <c r="I11" s="43" t="n"/>
      <c r="J11" s="10" t="n"/>
      <c r="K11" s="54" t="n"/>
      <c r="L11" s="42" t="n"/>
      <c r="M11" s="43" t="n"/>
    </row>
    <row r="12" ht="25.5" customHeight="1">
      <c r="A12" s="53" t="inlineStr">
        <is>
          <t>CNC NESTING</t>
        </is>
      </c>
      <c r="B12" s="42" t="n"/>
      <c r="C12" s="42" t="n"/>
      <c r="D12" s="42" t="n"/>
      <c r="E12" s="42" t="n"/>
      <c r="F12" s="43" t="n"/>
      <c r="G12" s="40" t="n"/>
      <c r="H12" s="42" t="n"/>
      <c r="I12" s="42" t="n"/>
      <c r="J12" s="11" t="n"/>
      <c r="K12" s="55" t="n"/>
      <c r="L12" s="42" t="n"/>
      <c r="M12" s="43" t="n"/>
    </row>
    <row r="13" ht="25.5" customHeight="1">
      <c r="A13" s="53" t="inlineStr">
        <is>
          <t>CNC ROVER / 5 EIXOS</t>
        </is>
      </c>
      <c r="B13" s="42" t="n"/>
      <c r="C13" s="42" t="n"/>
      <c r="D13" s="42" t="n"/>
      <c r="E13" s="42" t="n"/>
      <c r="F13" s="43" t="n"/>
      <c r="G13" s="54" t="n"/>
      <c r="H13" s="42" t="n"/>
      <c r="I13" s="43" t="n"/>
      <c r="J13" s="20" t="n"/>
      <c r="K13" s="54" t="n"/>
      <c r="L13" s="42" t="n"/>
      <c r="M13" s="43" t="n"/>
    </row>
    <row r="14" ht="25.5" customHeight="1">
      <c r="A14" s="53" t="inlineStr">
        <is>
          <t>MONTAGEM PRENSA</t>
        </is>
      </c>
      <c r="B14" s="42" t="n"/>
      <c r="C14" s="42" t="n"/>
      <c r="D14" s="42" t="n"/>
      <c r="E14" s="42" t="n"/>
      <c r="F14" s="43" t="n"/>
      <c r="G14" s="54" t="n"/>
      <c r="H14" s="42" t="n"/>
      <c r="I14" s="43" t="n"/>
      <c r="J14" s="21" t="n"/>
      <c r="K14" s="54" t="n"/>
      <c r="L14" s="42" t="n"/>
      <c r="M14" s="43" t="n"/>
    </row>
    <row r="15" ht="25.5" customHeight="1">
      <c r="A15" s="53" t="inlineStr">
        <is>
          <t>PRENSA</t>
        </is>
      </c>
      <c r="B15" s="42" t="n"/>
      <c r="C15" s="42" t="n"/>
      <c r="D15" s="42" t="n"/>
      <c r="E15" s="42" t="n"/>
      <c r="F15" s="43" t="n"/>
      <c r="G15" s="54" t="n"/>
      <c r="H15" s="42" t="n"/>
      <c r="I15" s="43" t="n"/>
      <c r="J15" s="21" t="n"/>
      <c r="K15" s="54" t="n"/>
      <c r="L15" s="42" t="n"/>
      <c r="M15" s="43" t="n"/>
    </row>
    <row r="16" ht="25.5" customHeight="1">
      <c r="A16" s="53" t="inlineStr">
        <is>
          <t>LAMINADORA</t>
        </is>
      </c>
      <c r="B16" s="42" t="n"/>
      <c r="C16" s="42" t="n"/>
      <c r="D16" s="42" t="n"/>
      <c r="E16" s="42" t="n"/>
      <c r="F16" s="43" t="n"/>
      <c r="G16" s="56" t="n"/>
      <c r="H16" s="44" t="n"/>
      <c r="I16" s="45" t="n"/>
      <c r="J16" s="21" t="n"/>
      <c r="K16" s="54" t="n"/>
      <c r="L16" s="42" t="n"/>
      <c r="M16" s="43" t="n"/>
    </row>
    <row r="17" ht="25.5" customHeight="1">
      <c r="A17" s="36" t="inlineStr">
        <is>
          <t>ELÉTRICA</t>
        </is>
      </c>
      <c r="B17" s="42" t="n"/>
      <c r="C17" s="42" t="n"/>
      <c r="D17" s="42" t="n"/>
      <c r="E17" s="42" t="n"/>
      <c r="F17" s="42" t="n"/>
      <c r="G17" s="25" t="n"/>
      <c r="H17" s="57" t="n"/>
      <c r="I17" s="58" t="n"/>
      <c r="J17" s="7" t="n"/>
      <c r="K17" s="21" t="n"/>
      <c r="L17" s="42" t="n"/>
      <c r="M17" s="43" t="n"/>
    </row>
    <row r="18" ht="25.5" customHeight="1">
      <c r="A18" s="36" t="inlineStr">
        <is>
          <t>LIXADEIRA / ESCOVA</t>
        </is>
      </c>
      <c r="B18" s="42" t="n"/>
      <c r="C18" s="42" t="n"/>
      <c r="D18" s="42" t="n"/>
      <c r="E18" s="42" t="n"/>
      <c r="F18" s="42" t="n"/>
      <c r="G18" s="25" t="n"/>
      <c r="H18" s="57" t="n"/>
      <c r="I18" s="58" t="n"/>
      <c r="J18" s="7" t="n"/>
      <c r="K18" s="21" t="n"/>
      <c r="L18" s="42" t="n"/>
      <c r="M18" s="43" t="n"/>
    </row>
    <row r="19" ht="25.5" customHeight="1">
      <c r="A19" s="53" t="inlineStr">
        <is>
          <t>MARCENEIRO</t>
        </is>
      </c>
      <c r="B19" s="42" t="n"/>
      <c r="C19" s="42" t="n"/>
      <c r="D19" s="42" t="n"/>
      <c r="E19" s="42" t="n"/>
      <c r="F19" s="43" t="n"/>
      <c r="G19" s="20" t="n"/>
      <c r="H19" s="47" t="n"/>
      <c r="I19" s="48" t="n"/>
      <c r="J19" s="21" t="n"/>
      <c r="K19" s="21" t="n"/>
      <c r="L19" s="42" t="n"/>
      <c r="M19" s="43" t="n"/>
    </row>
    <row r="20" ht="25.5" customHeight="1">
      <c r="A20" s="53" t="inlineStr">
        <is>
          <t>RESPONSÁVEL</t>
        </is>
      </c>
      <c r="B20" s="42" t="n"/>
      <c r="C20" s="42" t="n"/>
      <c r="D20" s="42" t="n"/>
      <c r="E20" s="42" t="n"/>
      <c r="F20" s="43" t="n"/>
      <c r="G20" s="21" t="n"/>
      <c r="H20" s="42" t="n"/>
      <c r="I20" s="43" t="n"/>
      <c r="K20" s="21" t="n"/>
      <c r="L20" s="42" t="n"/>
      <c r="M20" s="43" t="n"/>
    </row>
    <row r="21" ht="25.5" customHeight="1">
      <c r="A21" s="27" t="inlineStr">
        <is>
          <t>OBSERVAÇÕES</t>
        </is>
      </c>
      <c r="B21" s="42" t="n"/>
      <c r="C21" s="42" t="n"/>
      <c r="D21" s="42" t="n"/>
      <c r="E21" s="42" t="n"/>
      <c r="F21" s="42" t="n"/>
      <c r="G21" s="42" t="n"/>
      <c r="H21" s="42" t="n"/>
      <c r="I21" s="42" t="n"/>
      <c r="J21" s="42" t="n"/>
      <c r="K21" s="42" t="n"/>
      <c r="L21" s="42" t="n"/>
      <c r="M21" s="43" t="n"/>
    </row>
    <row r="22" ht="25.5" customHeight="1">
      <c r="A22" s="21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3" t="n"/>
    </row>
    <row r="23" ht="25.5" customHeight="1">
      <c r="A23" s="21" t="n"/>
      <c r="B23" s="42" t="n"/>
      <c r="C23" s="42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3" t="n"/>
    </row>
    <row r="24" ht="25.5" customHeight="1">
      <c r="A24" s="21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3" t="n"/>
    </row>
  </sheetData>
  <mergeCells count="43">
    <mergeCell ref="A16:F16"/>
    <mergeCell ref="G10:I10"/>
    <mergeCell ref="A23:M23"/>
    <mergeCell ref="G13:I13"/>
    <mergeCell ref="G19:I19"/>
    <mergeCell ref="A22:M22"/>
    <mergeCell ref="A4:M4"/>
    <mergeCell ref="G18:I18"/>
    <mergeCell ref="A18:F18"/>
    <mergeCell ref="A12:F12"/>
    <mergeCell ref="K12:M12"/>
    <mergeCell ref="B5:H5"/>
    <mergeCell ref="B2:K3"/>
    <mergeCell ref="G15:I15"/>
    <mergeCell ref="G14:I14"/>
    <mergeCell ref="A14:F14"/>
    <mergeCell ref="K14:M14"/>
    <mergeCell ref="D1:M1"/>
    <mergeCell ref="G20:I20"/>
    <mergeCell ref="A17:F17"/>
    <mergeCell ref="K17:M17"/>
    <mergeCell ref="A20:F20"/>
    <mergeCell ref="A24:M24"/>
    <mergeCell ref="G16:I16"/>
    <mergeCell ref="K19:M19"/>
    <mergeCell ref="A10:F10"/>
    <mergeCell ref="A13:F13"/>
    <mergeCell ref="K10:M10"/>
    <mergeCell ref="A19:F19"/>
    <mergeCell ref="K13:M13"/>
    <mergeCell ref="A8:M9"/>
    <mergeCell ref="K18:M18"/>
    <mergeCell ref="G12:I12"/>
    <mergeCell ref="K16:M16"/>
    <mergeCell ref="A15:F15"/>
    <mergeCell ref="K15:M15"/>
    <mergeCell ref="G11:I11"/>
    <mergeCell ref="A11:F11"/>
    <mergeCell ref="A1:C1"/>
    <mergeCell ref="A21:M21"/>
    <mergeCell ref="G17:I17"/>
    <mergeCell ref="K20:M20"/>
    <mergeCell ref="K11:M11"/>
  </mergeCells>
  <pageMargins left="0.511811024" right="0.511811024" top="0.787401575" bottom="0.787401575" header="0.31496062" footer="0.31496062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Furlan Tiara</dc:creator>
  <dcterms:created xmlns:dcterms="http://purl.org/dc/terms/" xmlns:xsi="http://www.w3.org/2001/XMLSchema-instance" xsi:type="dcterms:W3CDTF">2026-03-24T10:20:15Z</dcterms:created>
  <dcterms:modified xmlns:dcterms="http://purl.org/dc/terms/" xmlns:xsi="http://www.w3.org/2001/XMLSchema-instance" xsi:type="dcterms:W3CDTF">2026-03-26T16:33:31Z</dcterms:modified>
  <cp:lastModifiedBy>Gabriel Furlan Tiara</cp:lastModifiedBy>
</cp:coreProperties>
</file>